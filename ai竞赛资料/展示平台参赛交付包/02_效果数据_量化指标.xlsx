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答辩看板" sheetId="1" state="visible" r:id="rId1"/>
    <sheet xmlns:r="http://schemas.openxmlformats.org/officeDocument/2006/relationships" name="量化总览" sheetId="2" state="visible" r:id="rId2"/>
    <sheet xmlns:r="http://schemas.openxmlformats.org/officeDocument/2006/relationships" name="效率测算" sheetId="3" state="visible" r:id="rId3"/>
    <sheet xmlns:r="http://schemas.openxmlformats.org/officeDocument/2006/relationships" name="项目数据" sheetId="4" state="visible" r:id="rId4"/>
    <sheet xmlns:r="http://schemas.openxmlformats.org/officeDocument/2006/relationships" name="风险与治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name val="微软雅黑"/>
      <b val="1"/>
      <color rgb="00121926"/>
      <sz val="18"/>
    </font>
    <font>
      <name val="微软雅黑"/>
      <b val="1"/>
      <color rgb="00121926"/>
      <sz val="12"/>
    </font>
    <font>
      <name val="微软雅黑"/>
      <b val="1"/>
      <color rgb="003069D7"/>
      <sz val="12"/>
    </font>
    <font>
      <name val="微软雅黑"/>
      <b val="1"/>
      <color rgb="00D4484E"/>
      <sz val="12"/>
    </font>
    <font>
      <name val="微软雅黑"/>
      <color rgb="00121926"/>
      <sz val="10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E8EFF4"/>
      </patternFill>
    </fill>
    <fill>
      <patternFill patternType="solid">
        <fgColor rgb="000B1426"/>
      </patternFill>
    </fill>
  </fills>
  <borders count="7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medium">
        <color rgb="001DA7D6"/>
      </left>
      <right style="thin">
        <color rgb="00BFCBDD"/>
      </right>
      <top style="thin">
        <color rgb="00BFCBDD"/>
      </top>
      <bottom style="thin">
        <color rgb="00BFCBDD"/>
      </bottom>
    </border>
    <border>
      <left style="medium">
        <color rgb="00129D70"/>
      </left>
      <right style="thin">
        <color rgb="00BFCBDD"/>
      </right>
      <top style="thin">
        <color rgb="00BFCBDD"/>
      </top>
      <bottom style="thin">
        <color rgb="00BFCBDD"/>
      </bottom>
    </border>
    <border>
      <left style="medium">
        <color rgb="00D4484E"/>
      </left>
      <right style="thin">
        <color rgb="00BFCBDD"/>
      </right>
      <top style="thin">
        <color rgb="00BFCBDD"/>
      </top>
      <bottom style="thin">
        <color rgb="00BFCBDD"/>
      </bottom>
    </border>
    <border>
      <left style="medium">
        <color rgb="00D58B22"/>
      </left>
      <right style="thin">
        <color rgb="00BFCBDD"/>
      </right>
      <top style="thin">
        <color rgb="00BFCBDD"/>
      </top>
      <bottom style="thin">
        <color rgb="00BFCBDD"/>
      </bottom>
    </border>
    <border>
      <bottom style="thin">
        <color rgb="00BFCB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0" fontId="6" fillId="3" borderId="3" applyAlignment="1" pivotButton="0" quotePrefix="0" xfId="0">
      <alignment vertical="center" wrapText="1"/>
    </xf>
    <xf numFmtId="0" fontId="6" fillId="3" borderId="4" applyAlignment="1" pivotButton="0" quotePrefix="0" xfId="0">
      <alignment vertical="center" wrapText="1"/>
    </xf>
    <xf numFmtId="0" fontId="6" fillId="3" borderId="5" applyAlignment="1" pivotButton="0" quotePrefix="0" xfId="0">
      <alignment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center" wrapText="1"/>
    </xf>
    <xf numFmtId="9" fontId="6" fillId="0" borderId="6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传统估算 vs AI 协作工时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'答辩看板'!E9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'答辩看板'!$D$10:$D$15</f>
            </numRef>
          </cat>
          <val>
            <numRef>
              <f>'答辩看板'!$E$10:$E$15</f>
            </numRef>
          </val>
        </ser>
        <ser>
          <idx val="1"/>
          <order val="1"/>
          <tx>
            <strRef>
              <f>'答辩看板'!F9</f>
            </strRef>
          </tx>
          <spPr>
            <a:ln xmlns:a="http://schemas.openxmlformats.org/drawingml/2006/main">
              <a:prstDash val="solid"/>
            </a:ln>
          </spPr>
          <cat>
            <numRef>
              <f>'答辩看板'!$D$10:$D$15</f>
            </numRef>
          </cat>
          <val>
            <numRef>
              <f>'答辩看板'!$F$10:$F$15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小时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工作环节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传统工时 vs AI协作工时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'效率测算'!B1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'效率测算'!$A$2:$A$8</f>
            </numRef>
          </cat>
          <val>
            <numRef>
              <f>'效率测算'!$B$2:$B$8</f>
            </numRef>
          </val>
        </ser>
        <ser>
          <idx val="1"/>
          <order val="1"/>
          <tx>
            <strRef>
              <f>'效率测算'!C1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'效率测算'!$A$2:$A$8</f>
            </numRef>
          </cat>
          <val>
            <numRef>
              <f>'效率测算'!$C$2:$C$8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工作环节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小时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工程成果数据量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'项目数据'!D1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'项目数据'!$A$2:$A$3</f>
            </numRef>
          </cat>
          <val>
            <numRef>
              <f>'项目数据'!$D$2:$D$3</f>
            </numRef>
          </val>
        </ser>
        <ser>
          <idx val="1"/>
          <order val="1"/>
          <tx>
            <strRef>
              <f>'项目数据'!E1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'项目数据'!$A$2:$A$3</f>
            </numRef>
          </cat>
          <val>
            <numRef>
              <f>'项目数据'!$E$2:$E$3</f>
            </numRef>
          </val>
        </ser>
        <ser>
          <idx val="2"/>
          <order val="2"/>
          <tx>
            <strRef>
              <f>'项目数据'!F1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'项目数据'!$A$2:$A$3</f>
            </numRef>
          </cat>
          <val>
            <numRef>
              <f>'项目数据'!$F$2:$F$3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2" displayName="Table_2" ref="A1:C12" headerRowCount="1">
  <autoFilter ref="A1:C12"/>
  <tableColumns count="3">
    <tableColumn id="1" name="指标"/>
    <tableColumn id="2" name="数值"/>
    <tableColumn id="3" name="口径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3" displayName="Table_3" ref="A1:F9" headerRowCount="1">
  <autoFilter ref="A1:F9"/>
  <tableColumns count="6">
    <tableColumn id="1" name="工作环节"/>
    <tableColumn id="2" name="传统估算工时"/>
    <tableColumn id="3" name="AI协作实际工时"/>
    <tableColumn id="4" name="节省工时"/>
    <tableColumn id="5" name="效率提升"/>
    <tableColumn id="6" name="AI价值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4" displayName="Table_4" ref="A1:G3" headerRowCount="1">
  <autoFilter ref="A1:G3"/>
  <tableColumns count="7">
    <tableColumn id="1" name="工程"/>
    <tableColumn id="2" name="实体数"/>
    <tableColumn id="3" name="已上传实体"/>
    <tableColumn id="4" name="病害记录"/>
    <tableColumn id="5" name="灰度图"/>
    <tableColumn id="6" name="环片记录"/>
    <tableColumn id="7" name="点云文件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5" displayName="Table_5" ref="A1:D5" headerRowCount="1">
  <autoFilter ref="A1:D5"/>
  <tableColumns count="4">
    <tableColumn id="1" name="风险类型"/>
    <tableColumn id="2" name="项目表现"/>
    <tableColumn id="3" name="控制措施"/>
    <tableColumn id="4" name="竞赛表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4" customWidth="1" min="3" max="3"/>
    <col width="28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5" customHeight="1">
      <c r="A1" s="4" t="inlineStr">
        <is>
          <t>AI 赋能地铁隧道平台 | 答辩量化看板</t>
        </is>
      </c>
      <c r="B1" s="5" t="n"/>
      <c r="C1" s="5" t="n"/>
      <c r="D1" s="5" t="n"/>
      <c r="E1" s="5" t="n"/>
      <c r="F1" s="5" t="n"/>
      <c r="G1" s="5" t="n"/>
      <c r="H1" s="5" t="n"/>
    </row>
    <row r="2" ht="25" customHeight="1">
      <c r="A2" s="6" t="n"/>
      <c r="B2" s="6" t="n"/>
      <c r="C2" s="6" t="n"/>
      <c r="D2" s="6" t="n"/>
      <c r="E2" s="6" t="n"/>
      <c r="F2" s="6" t="n"/>
      <c r="G2" s="6" t="n"/>
      <c r="H2" s="6" t="n"/>
    </row>
    <row r="3" ht="25" customHeight="1">
      <c r="A3" s="7" t="inlineStr">
        <is>
          <t>效率提升
76%
传统估算 162h / AI 协作 39h</t>
        </is>
      </c>
      <c r="B3" s="6" t="n"/>
      <c r="C3" s="8" t="inlineStr">
        <is>
          <t>节省工时
123h
复盘估算，赛前可校准</t>
        </is>
      </c>
      <c r="D3" s="6" t="n"/>
      <c r="E3" s="9" t="inlineStr">
        <is>
          <t>病害记录
1,461
进入统一查询链路</t>
        </is>
      </c>
      <c r="F3" s="6" t="n"/>
      <c r="G3" s="10" t="inlineStr">
        <is>
          <t>样例数据
1.8GB
763 个样例文件</t>
        </is>
      </c>
      <c r="H3" s="6" t="n"/>
    </row>
    <row r="4" ht="25" customHeight="1">
      <c r="A4" s="6" t="n"/>
      <c r="B4" s="6" t="n"/>
      <c r="C4" s="6" t="n"/>
      <c r="D4" s="6" t="n"/>
      <c r="E4" s="6" t="n"/>
      <c r="F4" s="6" t="n"/>
      <c r="G4" s="6" t="n"/>
      <c r="H4" s="6" t="n"/>
    </row>
    <row r="5" ht="25" customHeight="1">
      <c r="A5" s="6" t="n"/>
      <c r="B5" s="6" t="n"/>
      <c r="C5" s="6" t="n"/>
      <c r="D5" s="6" t="n"/>
      <c r="E5" s="6" t="n"/>
      <c r="F5" s="6" t="n"/>
      <c r="G5" s="6" t="n"/>
      <c r="H5" s="6" t="n"/>
    </row>
    <row r="6" ht="25" customHeight="1">
      <c r="A6" s="6" t="n"/>
      <c r="B6" s="6" t="n"/>
      <c r="C6" s="6" t="n"/>
      <c r="D6" s="6" t="n"/>
      <c r="E6" s="6" t="n"/>
      <c r="F6" s="6" t="n"/>
      <c r="G6" s="6" t="n"/>
      <c r="H6" s="6" t="n"/>
    </row>
    <row r="7" ht="25" customHeight="1">
      <c r="A7" s="6" t="n"/>
      <c r="B7" s="6" t="n"/>
      <c r="C7" s="6" t="n"/>
      <c r="D7" s="6" t="n"/>
      <c r="E7" s="6" t="n"/>
      <c r="F7" s="6" t="n"/>
      <c r="G7" s="6" t="n"/>
      <c r="H7" s="6" t="n"/>
    </row>
    <row r="8" ht="25" customHeight="1">
      <c r="A8" s="11" t="inlineStr">
        <is>
          <t>答辩讲述顺序</t>
        </is>
      </c>
      <c r="B8" s="6" t="n"/>
      <c r="C8" s="6" t="n"/>
      <c r="D8" s="6" t="inlineStr">
        <is>
          <t>效率测算图</t>
        </is>
      </c>
      <c r="E8" s="6" t="n"/>
      <c r="F8" s="6" t="n"/>
      <c r="G8" s="6" t="n"/>
      <c r="H8" s="6" t="n"/>
    </row>
    <row r="9" ht="25" customHeight="1">
      <c r="A9" s="6" t="inlineStr">
        <is>
          <t>1. 先讲痛点</t>
        </is>
      </c>
      <c r="B9" s="6" t="inlineStr">
        <is>
          <t>资料分散、映射复杂、展示成本高、复用不足</t>
        </is>
      </c>
      <c r="C9" s="6" t="n"/>
      <c r="D9" s="11" t="inlineStr">
        <is>
          <t>工作环节</t>
        </is>
      </c>
      <c r="E9" s="11" t="inlineStr">
        <is>
          <t>传统估算</t>
        </is>
      </c>
      <c r="F9" s="11" t="inlineStr">
        <is>
          <t>AI协作</t>
        </is>
      </c>
      <c r="G9" s="6" t="n"/>
      <c r="H9" s="6" t="n"/>
    </row>
    <row r="10" ht="25" customHeight="1">
      <c r="A10" s="6" t="inlineStr">
        <is>
          <t>2. 再讲方案</t>
        </is>
      </c>
      <c r="B10" s="6" t="inlineStr">
        <is>
          <t>台账同步、统一库、API、WinForms 上传、Web 展示</t>
        </is>
      </c>
      <c r="C10" s="6" t="n"/>
      <c r="D10" s="6" t="inlineStr">
        <is>
          <t>需求澄清与方案拆解</t>
        </is>
      </c>
      <c r="E10" s="6" t="n">
        <v>8</v>
      </c>
      <c r="F10" s="6" t="n">
        <v>1.5</v>
      </c>
      <c r="G10" s="6" t="n"/>
      <c r="H10" s="6" t="n"/>
    </row>
    <row r="11" ht="25" customHeight="1">
      <c r="A11" s="6" t="inlineStr">
        <is>
          <t>3. 强调 AI 价值</t>
        </is>
      </c>
      <c r="B11" s="6" t="inlineStr">
        <is>
          <t>诊断-实现-验证-文档闭环，效率提升约 76%</t>
        </is>
      </c>
      <c r="C11" s="6" t="n"/>
      <c r="D11" s="6" t="inlineStr">
        <is>
          <t>数据库结构设计与表映射</t>
        </is>
      </c>
      <c r="E11" s="6" t="n">
        <v>24</v>
      </c>
      <c r="F11" s="6" t="n">
        <v>5</v>
      </c>
      <c r="G11" s="6" t="n"/>
      <c r="H11" s="6" t="n"/>
    </row>
    <row r="12" ht="25" customHeight="1">
      <c r="A12" s="6" t="inlineStr">
        <is>
          <t>4. 说明治理</t>
        </is>
      </c>
      <c r="B12" s="6" t="inlineStr">
        <is>
          <t>AI 幻觉、数据安全、质量一致性、知识沉淀均有控制措施</t>
        </is>
      </c>
      <c r="C12" s="6" t="n"/>
      <c r="D12" s="6" t="inlineStr">
        <is>
          <t>上传工具与台账同步</t>
        </is>
      </c>
      <c r="E12" s="6" t="n">
        <v>20</v>
      </c>
      <c r="F12" s="6" t="n">
        <v>4.5</v>
      </c>
      <c r="G12" s="6" t="n"/>
      <c r="H12" s="6" t="n"/>
    </row>
    <row r="13" ht="25" customHeight="1">
      <c r="A13" s="6" t="n"/>
      <c r="B13" s="6" t="n"/>
      <c r="C13" s="6" t="n"/>
      <c r="D13" s="6" t="inlineStr">
        <is>
          <t>SQLite 解析与入库逻辑</t>
        </is>
      </c>
      <c r="E13" s="6" t="n">
        <v>40</v>
      </c>
      <c r="F13" s="6" t="n">
        <v>11</v>
      </c>
      <c r="G13" s="6" t="n"/>
      <c r="H13" s="6" t="n"/>
    </row>
    <row r="14" ht="25" customHeight="1">
      <c r="A14" s="6" t="n"/>
      <c r="B14" s="6" t="n"/>
      <c r="C14" s="6" t="n"/>
      <c r="D14" s="6" t="inlineStr">
        <is>
          <t>前端展示与交互联动</t>
        </is>
      </c>
      <c r="E14" s="6" t="n">
        <v>36</v>
      </c>
      <c r="F14" s="6" t="n">
        <v>9</v>
      </c>
      <c r="G14" s="6" t="n"/>
      <c r="H14" s="6" t="n"/>
    </row>
    <row r="15" ht="25" customHeight="1">
      <c r="A15" s="6" t="inlineStr">
        <is>
          <t>赛前人工确认</t>
        </is>
      </c>
      <c r="B15" s="6" t="n"/>
      <c r="C15" s="6" t="n"/>
      <c r="D15" s="6" t="inlineStr">
        <is>
          <t>接口文档与材料整理</t>
        </is>
      </c>
      <c r="E15" s="6" t="n">
        <v>16</v>
      </c>
      <c r="F15" s="6" t="n">
        <v>3</v>
      </c>
      <c r="G15" s="6" t="n"/>
      <c r="H15" s="6" t="n"/>
    </row>
    <row r="16" ht="25" customHeight="1">
      <c r="A16" s="6" t="inlineStr">
        <is>
          <t>工时口径</t>
        </is>
      </c>
      <c r="B16" s="6" t="inlineStr">
        <is>
          <t>效率测算为复盘估算，按真实团队记录微调</t>
        </is>
      </c>
      <c r="C16" s="6" t="n"/>
      <c r="D16" s="6" t="inlineStr">
        <is>
          <t>测试修复与日志沉淀</t>
        </is>
      </c>
      <c r="E16" s="6" t="n">
        <v>18</v>
      </c>
      <c r="F16" s="6" t="n">
        <v>5</v>
      </c>
      <c r="G16" s="6" t="n"/>
      <c r="H16" s="6" t="n"/>
    </row>
    <row r="17" ht="25" customHeight="1">
      <c r="A17" s="6" t="inlineStr">
        <is>
          <t>脱敏口径</t>
        </is>
      </c>
      <c r="B17" s="6" t="inlineStr">
        <is>
          <t>确认台账、截图、日志中的工程名称与单位名称是否可公开</t>
        </is>
      </c>
      <c r="C17" s="6" t="n"/>
      <c r="D17" s="6" t="n"/>
      <c r="E17" s="6" t="n"/>
      <c r="F17" s="6" t="n"/>
      <c r="G17" s="6" t="n"/>
      <c r="H17" s="6" t="n"/>
    </row>
    <row r="18" ht="25" customHeight="1">
      <c r="A18" s="6" t="inlineStr">
        <is>
          <t>演示材料</t>
        </is>
      </c>
      <c r="B18" s="6" t="inlineStr">
        <is>
          <t>如主办方要求视频，录制台账同步、工程地图、病害高清图和 Swagger</t>
        </is>
      </c>
      <c r="C18" s="6" t="n"/>
      <c r="D18" s="6" t="n"/>
      <c r="E18" s="6" t="n"/>
      <c r="F18" s="6" t="n"/>
      <c r="G18" s="6" t="n"/>
      <c r="H18" s="6" t="n"/>
    </row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</sheetData>
  <mergeCells count="5">
    <mergeCell ref="C3:D6"/>
    <mergeCell ref="A3:B6"/>
    <mergeCell ref="G3:H6"/>
    <mergeCell ref="E3:F6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</cols>
  <sheetData>
    <row r="1" ht="24" customHeight="1">
      <c r="A1" s="12" t="inlineStr">
        <is>
          <t>指标</t>
        </is>
      </c>
      <c r="B1" s="12" t="inlineStr">
        <is>
          <t>数值</t>
        </is>
      </c>
      <c r="C1" s="12" t="inlineStr">
        <is>
          <t>口径说明</t>
        </is>
      </c>
    </row>
    <row r="2" ht="30" customHeight="1">
      <c r="A2" s="13" t="inlineStr">
        <is>
          <t>项目实例</t>
        </is>
      </c>
      <c r="B2" s="13" t="n">
        <v>2</v>
      </c>
      <c r="C2" s="13" t="inlineStr">
        <is>
          <t>台账中的线路 + 行别 + 采集日期</t>
        </is>
      </c>
    </row>
    <row r="3" ht="30" customHeight="1">
      <c r="A3" s="13" t="inlineStr">
        <is>
          <t>站点/区间实体</t>
        </is>
      </c>
      <c r="B3" s="13" t="n">
        <v>7</v>
      </c>
      <c r="C3" s="13" t="inlineStr">
        <is>
          <t>STATION 记录数</t>
        </is>
      </c>
    </row>
    <row r="4" ht="30" customHeight="1">
      <c r="A4" s="13" t="inlineStr">
        <is>
          <t>已上传实体</t>
        </is>
      </c>
      <c r="B4" s="13" t="n">
        <v>3</v>
      </c>
      <c r="C4" s="13" t="inlineStr">
        <is>
          <t>已导入检测成果的实体数</t>
        </is>
      </c>
    </row>
    <row r="5" ht="30" customHeight="1">
      <c r="A5" s="13" t="inlineStr">
        <is>
          <t>病害记录</t>
        </is>
      </c>
      <c r="B5" s="13" t="n">
        <v>1461</v>
      </c>
      <c r="C5" s="13" t="inlineStr">
        <is>
          <t>DISEASE_CHK_DATA 记录数</t>
        </is>
      </c>
    </row>
    <row r="6" ht="30" customHeight="1">
      <c r="A6" s="13" t="inlineStr">
        <is>
          <t>环片记录</t>
        </is>
      </c>
      <c r="B6" s="13" t="n">
        <v>1258</v>
      </c>
      <c r="C6" s="13" t="inlineStr">
        <is>
          <t>RING_LOC 记录数</t>
        </is>
      </c>
    </row>
    <row r="7" ht="30" customHeight="1">
      <c r="A7" s="13" t="inlineStr">
        <is>
          <t>灰度图索引</t>
        </is>
      </c>
      <c r="B7" s="13" t="n">
        <v>34</v>
      </c>
      <c r="C7" s="13" t="inlineStr">
        <is>
          <t>IMAGE_DATA 中灰度图记录</t>
        </is>
      </c>
    </row>
    <row r="8" ht="30" customHeight="1">
      <c r="A8" s="13" t="inlineStr">
        <is>
          <t>API 接口</t>
        </is>
      </c>
      <c r="B8" s="13" t="n">
        <v>23</v>
      </c>
      <c r="C8" s="13" t="inlineStr">
        <is>
          <t>Controller 中公开 HTTP 接口</t>
        </is>
      </c>
    </row>
    <row r="9" ht="30" customHeight="1">
      <c r="A9" s="13" t="inlineStr">
        <is>
          <t>源码文件</t>
        </is>
      </c>
      <c r="B9" s="13" t="n">
        <v>56</v>
      </c>
      <c r="C9" s="13" t="inlineStr">
        <is>
          <t>不含 bin/obj/.git/.vs/server-storage</t>
        </is>
      </c>
    </row>
    <row r="10" ht="30" customHeight="1">
      <c r="A10" s="13" t="inlineStr">
        <is>
          <t>源码行数</t>
        </is>
      </c>
      <c r="B10" s="13" t="n">
        <v>12215</v>
      </c>
      <c r="C10" s="13" t="inlineStr">
        <is>
          <t>不含日志和运行输出</t>
        </is>
      </c>
    </row>
    <row r="11" ht="30" customHeight="1">
      <c r="A11" s="13" t="inlineStr">
        <is>
          <t>样例文件</t>
        </is>
      </c>
      <c r="B11" s="13" t="n">
        <v>763</v>
      </c>
      <c r="C11" s="13" t="inlineStr">
        <is>
          <t>server-storage 中检测成果文件</t>
        </is>
      </c>
    </row>
    <row r="12" ht="30" customHeight="1">
      <c r="A12" s="13" t="inlineStr">
        <is>
          <t>样例数据体量(GB)</t>
        </is>
      </c>
      <c r="B12" s="13" t="n">
        <v>1.8</v>
      </c>
      <c r="C12" s="13" t="inlineStr">
        <is>
          <t>server-storage 文件大小合计约值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2" customWidth="1" min="5" max="5"/>
    <col width="34" customWidth="1" min="6" max="6"/>
  </cols>
  <sheetData>
    <row r="1" ht="24" customHeight="1">
      <c r="A1" s="12" t="inlineStr">
        <is>
          <t>工作环节</t>
        </is>
      </c>
      <c r="B1" s="12" t="inlineStr">
        <is>
          <t>传统估算工时</t>
        </is>
      </c>
      <c r="C1" s="12" t="inlineStr">
        <is>
          <t>AI协作实际工时</t>
        </is>
      </c>
      <c r="D1" s="12" t="inlineStr">
        <is>
          <t>节省工时</t>
        </is>
      </c>
      <c r="E1" s="12" t="inlineStr">
        <is>
          <t>效率提升</t>
        </is>
      </c>
      <c r="F1" s="12" t="inlineStr">
        <is>
          <t>AI价值说明</t>
        </is>
      </c>
    </row>
    <row r="2" ht="30" customHeight="1">
      <c r="A2" s="13" t="inlineStr">
        <is>
          <t>需求澄清与方案拆解</t>
        </is>
      </c>
      <c r="B2" s="13" t="n">
        <v>8</v>
      </c>
      <c r="C2" s="13" t="n">
        <v>1.5</v>
      </c>
      <c r="D2" s="13">
        <f>B2-C2</f>
        <v/>
      </c>
      <c r="E2" s="14">
        <f>D2/B2</f>
        <v/>
      </c>
      <c r="F2" s="13" t="inlineStr">
        <is>
          <t>AI 辅助生成任务拆分、风险清单和迭代路线</t>
        </is>
      </c>
    </row>
    <row r="3" ht="30" customHeight="1">
      <c r="A3" s="13" t="inlineStr">
        <is>
          <t>数据库结构设计与表映射</t>
        </is>
      </c>
      <c r="B3" s="13" t="n">
        <v>24</v>
      </c>
      <c r="C3" s="13" t="n">
        <v>5</v>
      </c>
      <c r="D3" s="13">
        <f>B3-C3</f>
        <v/>
      </c>
      <c r="E3" s="14">
        <f>D3/B3</f>
        <v/>
      </c>
      <c r="F3" s="13" t="inlineStr">
        <is>
          <t>按 Word 成果表快速形成 PostgreSQL 统一库和外键索引</t>
        </is>
      </c>
    </row>
    <row r="4" ht="30" customHeight="1">
      <c r="A4" s="13" t="inlineStr">
        <is>
          <t>上传工具与台账同步</t>
        </is>
      </c>
      <c r="B4" s="13" t="n">
        <v>20</v>
      </c>
      <c r="C4" s="13" t="n">
        <v>4.5</v>
      </c>
      <c r="D4" s="13">
        <f>B4-C4</f>
        <v/>
      </c>
      <c r="E4" s="14">
        <f>D4/B4</f>
        <v/>
      </c>
      <c r="F4" s="13" t="inlineStr">
        <is>
          <t>生成 WinForms 交互逻辑，快速迭代字段兼容</t>
        </is>
      </c>
    </row>
    <row r="5" ht="30" customHeight="1">
      <c r="A5" s="13" t="inlineStr">
        <is>
          <t>SQLite 解析与入库逻辑</t>
        </is>
      </c>
      <c r="B5" s="13" t="n">
        <v>40</v>
      </c>
      <c r="C5" s="13" t="n">
        <v>11</v>
      </c>
      <c r="D5" s="13">
        <f>B5-C5</f>
        <v/>
      </c>
      <c r="E5" s="14">
        <f>D5/B5</f>
        <v/>
      </c>
      <c r="F5" s="13" t="inlineStr">
        <is>
          <t>AI 辅助识别 2D/3D 表映射、编码问题和导入边界</t>
        </is>
      </c>
    </row>
    <row r="6" ht="30" customHeight="1">
      <c r="A6" s="13" t="inlineStr">
        <is>
          <t>前端展示与交互联动</t>
        </is>
      </c>
      <c r="B6" s="13" t="n">
        <v>36</v>
      </c>
      <c r="C6" s="13" t="n">
        <v>9</v>
      </c>
      <c r="D6" s="13">
        <f>B6-C6</f>
        <v/>
      </c>
      <c r="E6" s="14">
        <f>D6/B6</f>
        <v/>
      </c>
      <c r="F6" s="13" t="inlineStr">
        <is>
          <t>生成大屏样式、图像浏览、病害联动、地图展示</t>
        </is>
      </c>
    </row>
    <row r="7" ht="30" customHeight="1">
      <c r="A7" s="13" t="inlineStr">
        <is>
          <t>接口文档与材料整理</t>
        </is>
      </c>
      <c r="B7" s="13" t="n">
        <v>16</v>
      </c>
      <c r="C7" s="13" t="n">
        <v>3</v>
      </c>
      <c r="D7" s="13">
        <f>B7-C7</f>
        <v/>
      </c>
      <c r="E7" s="14">
        <f>D7/B7</f>
        <v/>
      </c>
      <c r="F7" s="13" t="inlineStr">
        <is>
          <t>自动整理 API 说明、流程图、竞赛报告和答辩材料</t>
        </is>
      </c>
    </row>
    <row r="8" ht="30" customHeight="1">
      <c r="A8" s="13" t="inlineStr">
        <is>
          <t>测试修复与日志沉淀</t>
        </is>
      </c>
      <c r="B8" s="13" t="n">
        <v>18</v>
      </c>
      <c r="C8" s="13" t="n">
        <v>5</v>
      </c>
      <c r="D8" s="13">
        <f>B8-C8</f>
        <v/>
      </c>
      <c r="E8" s="14">
        <f>D8/B8</f>
        <v/>
      </c>
      <c r="F8" s="13" t="inlineStr">
        <is>
          <t>根据构建错误、页面验证和业务反馈循环修复</t>
        </is>
      </c>
    </row>
    <row r="9" ht="30" customHeight="1">
      <c r="A9" s="13" t="inlineStr">
        <is>
          <t>合计</t>
        </is>
      </c>
      <c r="B9" s="13">
        <f>SUM(B2:B8)</f>
        <v/>
      </c>
      <c r="C9" s="13">
        <f>SUM(C2:C8)</f>
        <v/>
      </c>
      <c r="D9" s="13">
        <f>SUM(D2:D8)</f>
        <v/>
      </c>
      <c r="E9" s="14">
        <f>D9/B9</f>
        <v/>
      </c>
      <c r="F9" s="13" t="inlineStr">
        <is>
          <t>估算口径，可替换为团队真实记录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12" t="inlineStr">
        <is>
          <t>工程</t>
        </is>
      </c>
      <c r="B1" s="12" t="inlineStr">
        <is>
          <t>实体数</t>
        </is>
      </c>
      <c r="C1" s="12" t="inlineStr">
        <is>
          <t>已上传实体</t>
        </is>
      </c>
      <c r="D1" s="12" t="inlineStr">
        <is>
          <t>病害记录</t>
        </is>
      </c>
      <c r="E1" s="12" t="inlineStr">
        <is>
          <t>灰度图</t>
        </is>
      </c>
      <c r="F1" s="12" t="inlineStr">
        <is>
          <t>环片记录</t>
        </is>
      </c>
      <c r="G1" s="12" t="inlineStr">
        <is>
          <t>点云文件</t>
        </is>
      </c>
    </row>
    <row r="2" ht="30" customHeight="1">
      <c r="A2" s="13" t="inlineStr">
        <is>
          <t>北京地铁6号线-上行-20220316</t>
        </is>
      </c>
      <c r="B2" s="13" t="n">
        <v>4</v>
      </c>
      <c r="C2" s="13" t="n">
        <v>3</v>
      </c>
      <c r="D2" s="13" t="n">
        <v>1461</v>
      </c>
      <c r="E2" s="13" t="n">
        <v>34</v>
      </c>
      <c r="F2" s="13" t="n">
        <v>1258</v>
      </c>
      <c r="G2" s="13" t="n">
        <v>0</v>
      </c>
    </row>
    <row r="3" ht="30" customHeight="1">
      <c r="A3" s="13" t="inlineStr">
        <is>
          <t>南京地铁10号线-上行-20230520</t>
        </is>
      </c>
      <c r="B3" s="13" t="n">
        <v>3</v>
      </c>
      <c r="C3" s="13" t="n">
        <v>0</v>
      </c>
      <c r="D3" s="13" t="n">
        <v>0</v>
      </c>
      <c r="E3" s="13" t="n">
        <v>0</v>
      </c>
      <c r="F3" s="13" t="n">
        <v>0</v>
      </c>
      <c r="G3" s="13" t="n">
        <v>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16" customWidth="1" min="4" max="4"/>
  </cols>
  <sheetData>
    <row r="1" ht="24" customHeight="1">
      <c r="A1" s="12" t="inlineStr">
        <is>
          <t>风险类型</t>
        </is>
      </c>
      <c r="B1" s="12" t="inlineStr">
        <is>
          <t>项目表现</t>
        </is>
      </c>
      <c r="C1" s="12" t="inlineStr">
        <is>
          <t>控制措施</t>
        </is>
      </c>
      <c r="D1" s="12" t="inlineStr">
        <is>
          <t>竞赛表达</t>
        </is>
      </c>
    </row>
    <row r="2" ht="30" customHeight="1">
      <c r="A2" s="13" t="inlineStr">
        <is>
          <t>幻觉/误映射</t>
        </is>
      </c>
      <c r="B2" s="13" t="inlineStr">
        <is>
          <t>AI 可能把 SQLite 字段或 Word 表语义对应错</t>
        </is>
      </c>
      <c r="C2" s="13" t="inlineStr">
        <is>
          <t>以概要设计和真实表结构为准，构建和样例导入验证</t>
        </is>
      </c>
      <c r="D2" s="13" t="inlineStr">
        <is>
          <t>AI 加速，人工验收把关</t>
        </is>
      </c>
    </row>
    <row r="3" ht="30" customHeight="1">
      <c r="A3" s="13" t="inlineStr">
        <is>
          <t>数据安全</t>
        </is>
      </c>
      <c r="B3" s="13" t="inlineStr">
        <is>
          <t>检测数据、台账、工程信息均为本地资料</t>
        </is>
      </c>
      <c r="C3" s="13" t="inlineStr">
        <is>
          <t>全流程本地运行，不上传第三方云端存储</t>
        </is>
      </c>
      <c r="D3" s="13" t="inlineStr">
        <is>
          <t>适合企业内网/本地部署</t>
        </is>
      </c>
    </row>
    <row r="4" ht="30" customHeight="1">
      <c r="A4" s="13" t="inlineStr">
        <is>
          <t>质量一致性</t>
        </is>
      </c>
      <c r="B4" s="13" t="inlineStr">
        <is>
          <t>多轮修改可能产生接口/DTO 不一致</t>
        </is>
      </c>
      <c r="C4" s="13" t="inlineStr">
        <is>
          <t>dotnet build、接口调用、页面脚本检查</t>
        </is>
      </c>
      <c r="D4" s="13" t="inlineStr">
        <is>
          <t>形成可复跑验证清单</t>
        </is>
      </c>
    </row>
    <row r="5" ht="30" customHeight="1">
      <c r="A5" s="13" t="inlineStr">
        <is>
          <t>知识沉淀</t>
        </is>
      </c>
      <c r="B5" s="13" t="inlineStr">
        <is>
          <t>问答分散在多台电脑和多工具中</t>
        </is>
      </c>
      <c r="C5" s="13" t="inlineStr">
        <is>
          <t>整理报告、日志、API 说明和复盘表</t>
        </is>
      </c>
      <c r="D5" s="13" t="inlineStr">
        <is>
          <t>把个人试错变成团队资产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2026-04-28T09:27:59Z</dcterms:created>
  <dcterms:modified xmlns:dcterms="http://purl.org/dc/terms/" xmlns:xsi="http://www.w3.org/2001/XMLSchema-instance" xsi:type="dcterms:W3CDTF">2026-05-20T02:48:53Z</dcterms:modified>
</cp:coreProperties>
</file>